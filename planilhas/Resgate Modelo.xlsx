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SGATES EM MODEL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&quot;R$&quot;\ #,##0.00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3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49" fontId="3" fillId="2" borderId="1" applyAlignment="1" pivotButton="0" quotePrefix="0" xfId="0">
      <alignment horizontal="center" vertical="top"/>
    </xf>
    <xf numFmtId="0" fontId="0" fillId="3" borderId="1" pivotButton="0" quotePrefix="0" xfId="0"/>
    <xf numFmtId="1" fontId="0" fillId="3" borderId="1" pivotButton="0" quotePrefix="0" xfId="0"/>
    <xf numFmtId="164" fontId="0" fillId="3" borderId="1" pivotButton="0" quotePrefix="0" xfId="1"/>
    <xf numFmtId="165" fontId="0" fillId="3" borderId="1" pivotButton="0" quotePrefix="0" xfId="0"/>
    <xf numFmtId="0" fontId="0" fillId="4" borderId="1" pivotButton="0" quotePrefix="0" xfId="0"/>
    <xf numFmtId="1" fontId="0" fillId="4" borderId="1" pivotButton="0" quotePrefix="0" xfId="0"/>
    <xf numFmtId="164" fontId="0" fillId="4" borderId="1" pivotButton="0" quotePrefix="0" xfId="1"/>
    <xf numFmtId="165" fontId="0" fillId="4" borderId="1" pivotButton="0" quotePrefix="0" xfId="0"/>
    <xf numFmtId="0" fontId="0" fillId="5" borderId="1" pivotButton="0" quotePrefix="0" xfId="0"/>
    <xf numFmtId="1" fontId="0" fillId="5" borderId="1" pivotButton="0" quotePrefix="0" xfId="0"/>
    <xf numFmtId="164" fontId="0" fillId="5" borderId="1" pivotButton="0" quotePrefix="0" xfId="1"/>
    <xf numFmtId="165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2" fillId="0" borderId="0" pivotButton="0" quotePrefix="0" xfId="0"/>
    <xf numFmtId="0" fontId="2" fillId="6" borderId="0" applyAlignment="1" pivotButton="0" quotePrefix="0" xfId="0">
      <alignment horizontal="left" indent="10"/>
    </xf>
    <xf numFmtId="0" fontId="0" fillId="0" borderId="0" pivotButton="0" quotePrefix="0" xfId="0"/>
    <xf numFmtId="0" fontId="2" fillId="6" borderId="3" applyAlignment="1" pivotButton="0" quotePrefix="0" xfId="0">
      <alignment horizontal="left" indent="10"/>
    </xf>
    <xf numFmtId="0" fontId="0" fillId="0" borderId="3" pivotButton="0" quotePrefix="0" xfId="0"/>
    <xf numFmtId="0" fontId="0" fillId="2" borderId="2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164" fontId="0" fillId="3" borderId="1" pivotButton="0" quotePrefix="0" xfId="1"/>
    <xf numFmtId="165" fontId="0" fillId="3" borderId="1" pivotButton="0" quotePrefix="0" xfId="0"/>
    <xf numFmtId="164" fontId="0" fillId="4" borderId="1" pivotButton="0" quotePrefix="0" xfId="1"/>
    <xf numFmtId="165" fontId="0" fillId="4" borderId="1" pivotButton="0" quotePrefix="0" xfId="0"/>
    <xf numFmtId="164" fontId="0" fillId="5" borderId="1" pivotButton="0" quotePrefix="0" xfId="1"/>
    <xf numFmtId="165" fontId="0" fillId="5" borderId="1" pivotButton="0" quotePrefix="0" xfId="0"/>
    <xf numFmtId="0" fontId="0" fillId="2" borderId="1" applyAlignment="1" pivotButton="0" quotePrefix="0" xfId="0">
      <alignment horizontal="center" shrinkToFit="1"/>
    </xf>
    <xf numFmtId="0" fontId="0" fillId="0" borderId="4" pivotButton="0" quotePrefix="0" xfId="0"/>
    <xf numFmtId="165" fontId="0" fillId="2" borderId="1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0</col>
      <colOff>171450</colOff>
      <row>0</row>
      <rowOff>29718</rowOff>
    </from>
    <to>
      <col>0</col>
      <colOff>704850</colOff>
      <row>3</row>
      <rowOff>130302</rowOff>
    </to>
    <pic>
      <nvPicPr>
        <cNvPr id="4" name="Imagem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71450" y="29718"/>
          <a:ext cx="533400" cy="67208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5"/>
  <sheetViews>
    <sheetView tabSelected="1" topLeftCell="A7" workbookViewId="0">
      <selection activeCell="A35" sqref="A35:B35"/>
    </sheetView>
  </sheetViews>
  <sheetFormatPr baseColWidth="8" defaultColWidth="24.5703125" defaultRowHeight="15"/>
  <cols>
    <col width="24.42578125" bestFit="1" customWidth="1" style="20" min="1" max="1"/>
    <col width="25.5703125" bestFit="1" customWidth="1" style="20" min="2" max="2"/>
    <col width="35.28515625" bestFit="1" customWidth="1" style="20" min="3" max="3"/>
    <col width="15.140625" bestFit="1" customWidth="1" style="20" min="4" max="4"/>
    <col width="15.7109375" bestFit="1" customWidth="1" style="20" min="5" max="5"/>
    <col width="14.7109375" bestFit="1" customWidth="1" style="20" min="6" max="6"/>
    <col width="11.7109375" bestFit="1" customWidth="1" style="20" min="7" max="7"/>
    <col width="12.7109375" bestFit="1" customWidth="1" style="20" min="8" max="8"/>
    <col width="17.7109375" bestFit="1" customWidth="1" style="20" min="9" max="9"/>
    <col width="12.7109375" bestFit="1" customWidth="1" style="20" min="10" max="10"/>
  </cols>
  <sheetData>
    <row r="1">
      <c r="A1" s="19" t="inlineStr">
        <is>
          <t>Secretaria de Estado de Fazenda</t>
        </is>
      </c>
      <c r="D1" s="18" t="n"/>
    </row>
    <row r="2">
      <c r="A2" s="19" t="inlineStr">
        <is>
          <t>Subsecretaria do Tesouro</t>
        </is>
      </c>
      <c r="D2" s="1" t="n"/>
    </row>
    <row r="3">
      <c r="A3" s="19" t="inlineStr">
        <is>
          <t>Superintendência de Controles Financeiros - SUPCONFI</t>
        </is>
      </c>
      <c r="D3" s="1" t="n"/>
    </row>
    <row r="4">
      <c r="A4" s="21" t="inlineStr">
        <is>
          <t>Depósitos Judiciais - Resgates a favor do Governo - xx/xx/xxxx</t>
        </is>
      </c>
      <c r="B4" s="22" t="n"/>
      <c r="C4" s="22" t="n"/>
      <c r="D4" s="1" t="n"/>
    </row>
    <row r="5">
      <c r="A5" s="2" t="inlineStr">
        <is>
          <t>PROCESSO</t>
        </is>
      </c>
      <c r="B5" s="2" t="inlineStr">
        <is>
          <t>ORGÃO</t>
        </is>
      </c>
      <c r="C5" s="2" t="inlineStr">
        <is>
          <t>RECLAMADO</t>
        </is>
      </c>
      <c r="D5" s="2" t="inlineStr">
        <is>
          <t>CPF/CNPJ</t>
        </is>
      </c>
      <c r="E5" s="2" t="inlineStr">
        <is>
          <t>CONTA JUDICIAL</t>
        </is>
      </c>
      <c r="F5" s="2" t="inlineStr">
        <is>
          <t>SALDO CAPITAL</t>
        </is>
      </c>
      <c r="G5" s="2" t="inlineStr">
        <is>
          <t>CORREÇÃO</t>
        </is>
      </c>
      <c r="H5" s="2" t="inlineStr">
        <is>
          <t>JUROS</t>
        </is>
      </c>
      <c r="I5" s="2" t="inlineStr">
        <is>
          <t>SALDO CORRIGIDO</t>
        </is>
      </c>
      <c r="J5" s="3" t="inlineStr">
        <is>
          <t>LC 151 '30%'</t>
        </is>
      </c>
    </row>
    <row r="6">
      <c r="A6" s="4" t="inlineStr">
        <is>
          <t>08241563720258190002</t>
        </is>
      </c>
      <c r="B6" s="4" t="inlineStr">
        <is>
          <t>5º JUIZ.ESP.FAZ.PÚBLIC</t>
        </is>
      </c>
      <c r="C6" s="4" t="inlineStr">
        <is>
          <t>ESTADO DO RIO DE JANEIRO</t>
        </is>
      </c>
      <c r="D6" s="5" t="n">
        <v>42498600000171</v>
      </c>
      <c r="E6" s="4" t="inlineStr">
        <is>
          <t>0200127468247</t>
        </is>
      </c>
      <c r="F6" s="25" t="n">
        <v>18</v>
      </c>
      <c r="G6" s="25" t="n">
        <v>0.12</v>
      </c>
      <c r="H6" s="25" t="n">
        <v>0.41</v>
      </c>
      <c r="I6" s="25" t="n">
        <v>18.53</v>
      </c>
      <c r="J6" s="26">
        <f>I6*0.3</f>
        <v/>
      </c>
    </row>
    <row r="7">
      <c r="A7" s="8" t="inlineStr">
        <is>
          <t>0002563-75.2022.8.19.0006</t>
        </is>
      </c>
      <c r="B7" s="8" t="inlineStr">
        <is>
          <t>CENTRAL DA DIVIDA ATIVA</t>
        </is>
      </c>
      <c r="C7" s="8" t="inlineStr">
        <is>
          <t>SONIA DE FATIMA DA SILVA GUEDE</t>
        </is>
      </c>
      <c r="D7" s="9" t="n">
        <v>98750283715</v>
      </c>
      <c r="E7" s="8" t="inlineStr">
        <is>
          <t>0300103576707</t>
        </is>
      </c>
      <c r="F7" s="27" t="n">
        <v>18022.97</v>
      </c>
      <c r="G7" s="27" t="n">
        <v>529.9299999999999</v>
      </c>
      <c r="H7" s="27" t="n">
        <v>1949.19</v>
      </c>
      <c r="I7" s="27" t="n">
        <v>20502.09</v>
      </c>
      <c r="J7" s="28">
        <f>I7*0.3</f>
        <v/>
      </c>
    </row>
    <row r="8">
      <c r="A8" s="12" t="inlineStr">
        <is>
          <t>01124330220248190001</t>
        </is>
      </c>
      <c r="B8" s="12" t="inlineStr">
        <is>
          <t>17 VARA DA FAZENDA</t>
        </is>
      </c>
      <c r="C8" s="12" t="inlineStr">
        <is>
          <t>ELZA COELHO PINHEIRO</t>
        </is>
      </c>
      <c r="D8" s="13" t="n">
        <v>2101319772</v>
      </c>
      <c r="E8" s="12" t="inlineStr">
        <is>
          <t>0300113316110</t>
        </is>
      </c>
      <c r="F8" s="29" t="n">
        <v>29291.77</v>
      </c>
      <c r="G8" s="29" t="n">
        <v>577.4299999999999</v>
      </c>
      <c r="H8" s="29" t="n">
        <v>1801.47</v>
      </c>
      <c r="I8" s="29" t="n">
        <v>31670.67</v>
      </c>
      <c r="J8" s="30">
        <f>I8*0.3</f>
        <v/>
      </c>
    </row>
    <row r="9">
      <c r="A9" s="8" t="inlineStr">
        <is>
          <t>01040670820238190001</t>
        </is>
      </c>
      <c r="B9" s="8" t="inlineStr">
        <is>
          <t>8 NUCLEO 4.0 DIR FAZEN</t>
        </is>
      </c>
      <c r="C9" s="8" t="inlineStr">
        <is>
          <t>SENCINET BRASIL SERVICOS DE TE</t>
        </is>
      </c>
      <c r="D9" s="9" t="n">
        <v>33179565000137</v>
      </c>
      <c r="E9" s="8" t="inlineStr">
        <is>
          <t>0700131748013</t>
        </is>
      </c>
      <c r="F9" s="27" t="n">
        <v>66115.5</v>
      </c>
      <c r="G9" s="27" t="n">
        <v>2222.61</v>
      </c>
      <c r="H9" s="27" t="n">
        <v>9513.01</v>
      </c>
      <c r="I9" s="27" t="n">
        <v>77851.12</v>
      </c>
      <c r="J9" s="28">
        <f>I9*0.3</f>
        <v/>
      </c>
    </row>
    <row r="10">
      <c r="A10" s="4" t="inlineStr">
        <is>
          <t>01040670820238190001</t>
        </is>
      </c>
      <c r="B10" s="4" t="inlineStr">
        <is>
          <t>8 NUCLEO 4.0 DIR FAZEN</t>
        </is>
      </c>
      <c r="C10" s="4" t="inlineStr">
        <is>
          <t>SENCINET BRASIL SERVICOS DE TE</t>
        </is>
      </c>
      <c r="D10" s="5" t="n">
        <v>33179565000137</v>
      </c>
      <c r="E10" s="4" t="inlineStr">
        <is>
          <t>0700131748013</t>
        </is>
      </c>
      <c r="F10" s="25" t="n">
        <v>1455.02</v>
      </c>
      <c r="G10" s="25" t="n">
        <v>48.91</v>
      </c>
      <c r="H10" s="25" t="n">
        <v>209.35</v>
      </c>
      <c r="I10" s="25" t="n">
        <v>1713.28</v>
      </c>
      <c r="J10" s="26">
        <f>I10*0.3</f>
        <v/>
      </c>
    </row>
    <row r="11">
      <c r="A11" s="8" t="inlineStr">
        <is>
          <t>01040670820238190001</t>
        </is>
      </c>
      <c r="B11" s="8" t="inlineStr">
        <is>
          <t>8 NUCLEO 4.0 DIR FAZEN</t>
        </is>
      </c>
      <c r="C11" s="8" t="inlineStr">
        <is>
          <t>SENCINET BRASIL SERVICOS DE TE</t>
        </is>
      </c>
      <c r="D11" s="9" t="n">
        <v>33179565000137</v>
      </c>
      <c r="E11" s="8" t="inlineStr">
        <is>
          <t>0700131748013</t>
        </is>
      </c>
      <c r="F11" s="27" t="n">
        <v>118.98</v>
      </c>
      <c r="G11" s="27" t="n">
        <v>3.99</v>
      </c>
      <c r="H11" s="27" t="n">
        <v>17.11</v>
      </c>
      <c r="I11" s="27" t="n">
        <v>140.08</v>
      </c>
      <c r="J11" s="28">
        <f>I11*0.3</f>
        <v/>
      </c>
    </row>
    <row r="12">
      <c r="A12" s="4" t="inlineStr">
        <is>
          <t>01040670820238190001</t>
        </is>
      </c>
      <c r="B12" s="4" t="inlineStr">
        <is>
          <t>8 NUCLEO 4.0 DIR FAZEN</t>
        </is>
      </c>
      <c r="C12" s="4" t="inlineStr">
        <is>
          <t>SENCINET BRASIL SERVICOS DE TE</t>
        </is>
      </c>
      <c r="D12" s="5" t="n">
        <v>33179565000137</v>
      </c>
      <c r="E12" s="4" t="inlineStr">
        <is>
          <t>0700131748013</t>
        </is>
      </c>
      <c r="F12" s="25" t="n">
        <v>49137.8</v>
      </c>
      <c r="G12" s="25" t="n">
        <v>1651.87</v>
      </c>
      <c r="H12" s="25" t="n">
        <v>7070.18</v>
      </c>
      <c r="I12" s="25" t="n">
        <v>57859.85</v>
      </c>
      <c r="J12" s="26">
        <f>I12*0.3</f>
        <v/>
      </c>
    </row>
    <row r="13">
      <c r="A13" s="8" t="inlineStr">
        <is>
          <t>01040670820238190001</t>
        </is>
      </c>
      <c r="B13" s="8" t="inlineStr">
        <is>
          <t>8 NUCLEO 4.0 DIR FAZEN</t>
        </is>
      </c>
      <c r="C13" s="8" t="inlineStr">
        <is>
          <t>SENCINET BRASIL SERVICOS DE TE</t>
        </is>
      </c>
      <c r="D13" s="9" t="n">
        <v>33179565000137</v>
      </c>
      <c r="E13" s="8" t="inlineStr">
        <is>
          <t>0700131748013</t>
        </is>
      </c>
      <c r="F13" s="27" t="n">
        <v>36253.34</v>
      </c>
      <c r="G13" s="27" t="n">
        <v>1184.56</v>
      </c>
      <c r="H13" s="27" t="n">
        <v>4893.42</v>
      </c>
      <c r="I13" s="27" t="n">
        <v>42331.32</v>
      </c>
      <c r="J13" s="28">
        <f>I13*0.3</f>
        <v/>
      </c>
    </row>
    <row r="14">
      <c r="A14" s="4" t="inlineStr">
        <is>
          <t>01148688020238190001</t>
        </is>
      </c>
      <c r="B14" s="4" t="inlineStr">
        <is>
          <t>17 VARA DA FAZENDA</t>
        </is>
      </c>
      <c r="C14" s="4" t="inlineStr">
        <is>
          <t>REIMO ARTIGOS ESPORTIVOS LTDA.</t>
        </is>
      </c>
      <c r="D14" s="5" t="n">
        <v>1296286000167</v>
      </c>
      <c r="E14" s="4" t="inlineStr">
        <is>
          <t>1000115485022</t>
        </is>
      </c>
      <c r="F14" s="25" t="n">
        <v>42.07</v>
      </c>
      <c r="G14" s="25" t="n">
        <v>0.67</v>
      </c>
      <c r="H14" s="25" t="n">
        <v>2.11</v>
      </c>
      <c r="I14" s="25" t="n">
        <v>44.85</v>
      </c>
      <c r="J14" s="26">
        <f>I14*0.3</f>
        <v/>
      </c>
    </row>
    <row r="15">
      <c r="A15" s="8" t="inlineStr">
        <is>
          <t>01148688020238190001</t>
        </is>
      </c>
      <c r="B15" s="8" t="inlineStr">
        <is>
          <t>17 VARA DA FAZENDA</t>
        </is>
      </c>
      <c r="C15" s="8" t="inlineStr">
        <is>
          <t>REIMO ARTIGOS ESPORTIVOS LTDA.</t>
        </is>
      </c>
      <c r="D15" s="9" t="n">
        <v>1296286000167</v>
      </c>
      <c r="E15" s="8" t="inlineStr">
        <is>
          <t>1000115485022</t>
        </is>
      </c>
      <c r="F15" s="27" t="n">
        <v>134.69</v>
      </c>
      <c r="G15" s="27" t="n">
        <v>2.17</v>
      </c>
      <c r="H15" s="27" t="n">
        <v>6.76</v>
      </c>
      <c r="I15" s="27" t="n">
        <v>143.62</v>
      </c>
      <c r="J15" s="28">
        <f>I15*0.3</f>
        <v/>
      </c>
    </row>
    <row r="16">
      <c r="A16" s="4" t="inlineStr">
        <is>
          <t>01148688020238190001</t>
        </is>
      </c>
      <c r="B16" s="4" t="inlineStr">
        <is>
          <t>17 VARA DA FAZENDA</t>
        </is>
      </c>
      <c r="C16" s="4" t="inlineStr">
        <is>
          <t>REIMO ARTIGOS ESPORTIVOS LTDA.</t>
        </is>
      </c>
      <c r="D16" s="5" t="n">
        <v>1296286000167</v>
      </c>
      <c r="E16" s="4" t="inlineStr">
        <is>
          <t>1000115485022</t>
        </is>
      </c>
      <c r="F16" s="25" t="n">
        <v>9.960000000000001</v>
      </c>
      <c r="G16" s="25" t="n">
        <v>0.16</v>
      </c>
      <c r="H16" s="25" t="n">
        <v>0.5</v>
      </c>
      <c r="I16" s="25" t="n">
        <v>10.62</v>
      </c>
      <c r="J16" s="26">
        <f>I16*0.3</f>
        <v/>
      </c>
    </row>
    <row r="17">
      <c r="A17" s="8" t="inlineStr">
        <is>
          <t>01148688020238190001</t>
        </is>
      </c>
      <c r="B17" s="8" t="inlineStr">
        <is>
          <t>17 VARA DA FAZENDA</t>
        </is>
      </c>
      <c r="C17" s="8" t="inlineStr">
        <is>
          <t>REIMO ARTIGOS ESPORTIVOS LTDA.</t>
        </is>
      </c>
      <c r="D17" s="9" t="n">
        <v>1296286000167</v>
      </c>
      <c r="E17" s="8" t="inlineStr">
        <is>
          <t>1000115485022</t>
        </is>
      </c>
      <c r="F17" s="27" t="n">
        <v>36.06</v>
      </c>
      <c r="G17" s="27" t="n">
        <v>0.58</v>
      </c>
      <c r="H17" s="27" t="n">
        <v>1.81</v>
      </c>
      <c r="I17" s="27" t="n">
        <v>38.45</v>
      </c>
      <c r="J17" s="28">
        <f>I17*0.3</f>
        <v/>
      </c>
    </row>
    <row r="18">
      <c r="A18" s="4" t="inlineStr">
        <is>
          <t>01148688020238190001</t>
        </is>
      </c>
      <c r="B18" s="4" t="inlineStr">
        <is>
          <t>17 VARA DA FAZENDA</t>
        </is>
      </c>
      <c r="C18" s="4" t="inlineStr">
        <is>
          <t>REIMO ARTIGOS ESPORTIVOS LTDA.</t>
        </is>
      </c>
      <c r="D18" s="5" t="n">
        <v>1296286000167</v>
      </c>
      <c r="E18" s="4" t="inlineStr">
        <is>
          <t>1000115485022</t>
        </is>
      </c>
      <c r="F18" s="25" t="n">
        <v>5.37</v>
      </c>
      <c r="G18" s="25" t="n">
        <v>0.08</v>
      </c>
      <c r="H18" s="25" t="n">
        <v>0.26</v>
      </c>
      <c r="I18" s="25" t="n">
        <v>5.71</v>
      </c>
      <c r="J18" s="26">
        <f>I18*0.3</f>
        <v/>
      </c>
    </row>
    <row r="19">
      <c r="A19" s="8" t="inlineStr">
        <is>
          <t>01148688020238190001</t>
        </is>
      </c>
      <c r="B19" s="8" t="inlineStr">
        <is>
          <t>17 VARA DA FAZENDA</t>
        </is>
      </c>
      <c r="C19" s="8" t="inlineStr">
        <is>
          <t>REIMO ARTIGOS ESPORTIVOS LTDA.</t>
        </is>
      </c>
      <c r="D19" s="9" t="n">
        <v>1296286000167</v>
      </c>
      <c r="E19" s="8" t="inlineStr">
        <is>
          <t>1000115485022</t>
        </is>
      </c>
      <c r="F19" s="27" t="n">
        <v>63.66</v>
      </c>
      <c r="G19" s="27" t="n">
        <v>1.02</v>
      </c>
      <c r="H19" s="27" t="n">
        <v>3.19</v>
      </c>
      <c r="I19" s="27" t="n">
        <v>67.87</v>
      </c>
      <c r="J19" s="28">
        <f>I19*0.3</f>
        <v/>
      </c>
    </row>
    <row r="20">
      <c r="A20" s="4" t="inlineStr">
        <is>
          <t>01148688020238190001</t>
        </is>
      </c>
      <c r="B20" s="4" t="inlineStr">
        <is>
          <t>17 VARA DA FAZENDA</t>
        </is>
      </c>
      <c r="C20" s="4" t="inlineStr">
        <is>
          <t>REIMO ARTIGOS ESPORTIVOS LTDA.</t>
        </is>
      </c>
      <c r="D20" s="5" t="n">
        <v>1296286000167</v>
      </c>
      <c r="E20" s="4" t="inlineStr">
        <is>
          <t>1000115485022</t>
        </is>
      </c>
      <c r="F20" s="25" t="n">
        <v>15.55</v>
      </c>
      <c r="G20" s="25" t="n">
        <v>0.25</v>
      </c>
      <c r="H20" s="25" t="n">
        <v>0.78</v>
      </c>
      <c r="I20" s="25" t="n">
        <v>16.58</v>
      </c>
      <c r="J20" s="26">
        <f>I20*0.3</f>
        <v/>
      </c>
    </row>
    <row r="21">
      <c r="A21" s="8" t="inlineStr">
        <is>
          <t>01148688020238190001</t>
        </is>
      </c>
      <c r="B21" s="8" t="inlineStr">
        <is>
          <t>17 VARA DA FAZENDA</t>
        </is>
      </c>
      <c r="C21" s="8" t="inlineStr">
        <is>
          <t>REIMO ARTIGOS ESPORTIVOS LTDA.</t>
        </is>
      </c>
      <c r="D21" s="9" t="n">
        <v>1296286000167</v>
      </c>
      <c r="E21" s="8" t="inlineStr">
        <is>
          <t>1000115485022</t>
        </is>
      </c>
      <c r="F21" s="27" t="n">
        <v>89.91</v>
      </c>
      <c r="G21" s="27" t="n">
        <v>1.44</v>
      </c>
      <c r="H21" s="27" t="n">
        <v>4.51</v>
      </c>
      <c r="I21" s="27" t="n">
        <v>95.86</v>
      </c>
      <c r="J21" s="28">
        <f>I21*0.3</f>
        <v/>
      </c>
    </row>
    <row r="22">
      <c r="A22" s="4" t="inlineStr">
        <is>
          <t>01148688020238190001</t>
        </is>
      </c>
      <c r="B22" s="4" t="inlineStr">
        <is>
          <t>17 VARA DA FAZENDA</t>
        </is>
      </c>
      <c r="C22" s="4" t="inlineStr">
        <is>
          <t>REIMO ARTIGOS ESPORTIVOS LTDA.</t>
        </is>
      </c>
      <c r="D22" s="5" t="n">
        <v>1296286000167</v>
      </c>
      <c r="E22" s="4" t="inlineStr">
        <is>
          <t>1000115485022</t>
        </is>
      </c>
      <c r="F22" s="25" t="n">
        <v>72.2</v>
      </c>
      <c r="G22" s="25" t="n">
        <v>1.16</v>
      </c>
      <c r="H22" s="25" t="n">
        <v>3.62</v>
      </c>
      <c r="I22" s="25" t="n">
        <v>76.98</v>
      </c>
      <c r="J22" s="26">
        <f>I22*0.3</f>
        <v/>
      </c>
    </row>
    <row r="23">
      <c r="A23" s="8" t="inlineStr">
        <is>
          <t>01148688020238190001</t>
        </is>
      </c>
      <c r="B23" s="8" t="inlineStr">
        <is>
          <t>17 VARA DA FAZENDA</t>
        </is>
      </c>
      <c r="C23" s="8" t="inlineStr">
        <is>
          <t>REIMO ARTIGOS ESPORTIVOS LTDA.</t>
        </is>
      </c>
      <c r="D23" s="9" t="n">
        <v>1296286000167</v>
      </c>
      <c r="E23" s="8" t="inlineStr">
        <is>
          <t>1000115485022</t>
        </is>
      </c>
      <c r="F23" s="27" t="n">
        <v>37.87</v>
      </c>
      <c r="G23" s="27" t="n">
        <v>0.61</v>
      </c>
      <c r="H23" s="27" t="n">
        <v>1.9</v>
      </c>
      <c r="I23" s="27" t="n">
        <v>40.38</v>
      </c>
      <c r="J23" s="28">
        <f>I23*0.3</f>
        <v/>
      </c>
    </row>
    <row r="24">
      <c r="A24" s="4" t="inlineStr">
        <is>
          <t>01148688020238190001</t>
        </is>
      </c>
      <c r="B24" s="4" t="inlineStr">
        <is>
          <t>17 VARA DA FAZENDA</t>
        </is>
      </c>
      <c r="C24" s="4" t="inlineStr">
        <is>
          <t>REIMO ARTIGOS ESPORTIVOS LTDA.</t>
        </is>
      </c>
      <c r="D24" s="5" t="n">
        <v>1296286000167</v>
      </c>
      <c r="E24" s="4" t="inlineStr">
        <is>
          <t>1000115485022</t>
        </is>
      </c>
      <c r="F24" s="25" t="n">
        <v>38.76</v>
      </c>
      <c r="G24" s="25" t="n">
        <v>0.62</v>
      </c>
      <c r="H24" s="25" t="n">
        <v>1.94</v>
      </c>
      <c r="I24" s="25" t="n">
        <v>41.32</v>
      </c>
      <c r="J24" s="26">
        <f>I24*0.3</f>
        <v/>
      </c>
    </row>
    <row r="25">
      <c r="A25" s="8" t="inlineStr">
        <is>
          <t>01148688020238190001</t>
        </is>
      </c>
      <c r="B25" s="8" t="inlineStr">
        <is>
          <t>17 VARA DA FAZENDA</t>
        </is>
      </c>
      <c r="C25" s="8" t="inlineStr">
        <is>
          <t>REIMO ARTIGOS ESPORTIVOS LTDA.</t>
        </is>
      </c>
      <c r="D25" s="9" t="n">
        <v>1296286000167</v>
      </c>
      <c r="E25" s="8" t="inlineStr">
        <is>
          <t>1000115485022</t>
        </is>
      </c>
      <c r="F25" s="27" t="n">
        <v>182.84</v>
      </c>
      <c r="G25" s="27" t="n">
        <v>2.94</v>
      </c>
      <c r="H25" s="27" t="n">
        <v>9.18</v>
      </c>
      <c r="I25" s="27" t="n">
        <v>194.96</v>
      </c>
      <c r="J25" s="28">
        <f>I25*0.3</f>
        <v/>
      </c>
    </row>
    <row r="26">
      <c r="A26" s="4" t="inlineStr">
        <is>
          <t>01148688020238190001</t>
        </is>
      </c>
      <c r="B26" s="4" t="inlineStr">
        <is>
          <t>17 VARA DA FAZENDA</t>
        </is>
      </c>
      <c r="C26" s="4" t="inlineStr">
        <is>
          <t>REIMO ARTIGOS ESPORTIVOS LTDA.</t>
        </is>
      </c>
      <c r="D26" s="5" t="n">
        <v>1296286000167</v>
      </c>
      <c r="E26" s="4" t="inlineStr">
        <is>
          <t>1000115485022</t>
        </is>
      </c>
      <c r="F26" s="25" t="n">
        <v>784.9</v>
      </c>
      <c r="G26" s="25" t="n">
        <v>12.65</v>
      </c>
      <c r="H26" s="25" t="n">
        <v>39.43</v>
      </c>
      <c r="I26" s="25" t="n">
        <v>836.98</v>
      </c>
      <c r="J26" s="26">
        <f>I26*0.3</f>
        <v/>
      </c>
    </row>
    <row r="27">
      <c r="A27" s="8" t="inlineStr">
        <is>
          <t>01148688020238190001</t>
        </is>
      </c>
      <c r="B27" s="8" t="inlineStr">
        <is>
          <t>17 VARA DA FAZENDA</t>
        </is>
      </c>
      <c r="C27" s="8" t="inlineStr">
        <is>
          <t>REIMO ARTIGOS ESPORTIVOS LTDA.</t>
        </is>
      </c>
      <c r="D27" s="9" t="n">
        <v>1296286000167</v>
      </c>
      <c r="E27" s="8" t="inlineStr">
        <is>
          <t>1000115485022</t>
        </is>
      </c>
      <c r="F27" s="27" t="n">
        <v>325.05</v>
      </c>
      <c r="G27" s="27" t="n">
        <v>5.24</v>
      </c>
      <c r="H27" s="27" t="n">
        <v>16.33</v>
      </c>
      <c r="I27" s="27" t="n">
        <v>346.62</v>
      </c>
      <c r="J27" s="28">
        <f>I27*0.3</f>
        <v/>
      </c>
    </row>
    <row r="28">
      <c r="A28" s="4" t="inlineStr">
        <is>
          <t>0062702-45.2021.8.19.0000</t>
        </is>
      </c>
      <c r="B28" s="4" t="inlineStr">
        <is>
          <t>ORGAO ESPECIAL DO TJ</t>
        </is>
      </c>
      <c r="C28" s="4" t="inlineStr">
        <is>
          <t>ESTADO DO RIO DE JANEIRO</t>
        </is>
      </c>
      <c r="D28" s="5" t="n">
        <v>42498600000171</v>
      </c>
      <c r="E28" s="4" t="inlineStr">
        <is>
          <t>1800107349994</t>
        </is>
      </c>
      <c r="F28" s="25" t="n">
        <v>2102.18</v>
      </c>
      <c r="G28" s="25" t="n">
        <v>75.72</v>
      </c>
      <c r="H28" s="25" t="n">
        <v>351.89</v>
      </c>
      <c r="I28" s="25" t="n">
        <v>2529.79</v>
      </c>
      <c r="J28" s="26">
        <f>I28*0.3</f>
        <v/>
      </c>
    </row>
    <row r="29">
      <c r="A29" s="8" t="inlineStr">
        <is>
          <t>01063873120238190001</t>
        </is>
      </c>
      <c r="B29" s="8" t="inlineStr">
        <is>
          <t>8 NUCLEO 4.0 DIR FAZEN</t>
        </is>
      </c>
      <c r="C29" s="8" t="inlineStr">
        <is>
          <t>RODOVIARIO NOVA GRECIA TRANSPO</t>
        </is>
      </c>
      <c r="D29" s="9" t="n">
        <v>30263242000139</v>
      </c>
      <c r="E29" s="8" t="inlineStr">
        <is>
          <t>2000131754244</t>
        </is>
      </c>
      <c r="F29" s="27" t="n">
        <v>156.84</v>
      </c>
      <c r="G29" s="27" t="n">
        <v>5.27</v>
      </c>
      <c r="H29" s="27" t="n">
        <v>22.56</v>
      </c>
      <c r="I29" s="27" t="n">
        <v>184.67</v>
      </c>
      <c r="J29" s="28">
        <f>I29*0.3</f>
        <v/>
      </c>
    </row>
    <row r="30">
      <c r="A30" s="4" t="inlineStr">
        <is>
          <t>01262884820248190001</t>
        </is>
      </c>
      <c r="B30" s="4" t="inlineStr">
        <is>
          <t>17 VARA DA FAZENDA</t>
        </is>
      </c>
      <c r="C30" s="4" t="inlineStr">
        <is>
          <t>JANETE RODRIGUES COSME REIS</t>
        </is>
      </c>
      <c r="D30" s="5" t="n">
        <v>52052192700</v>
      </c>
      <c r="E30" s="4" t="inlineStr">
        <is>
          <t>2800106772762</t>
        </is>
      </c>
      <c r="F30" s="25" t="n">
        <v>87.08</v>
      </c>
      <c r="G30" s="25" t="n">
        <v>1.74</v>
      </c>
      <c r="H30" s="25" t="n">
        <v>5.44</v>
      </c>
      <c r="I30" s="25" t="n">
        <v>94.26000000000001</v>
      </c>
      <c r="J30" s="26">
        <f>I30*0.3</f>
        <v/>
      </c>
    </row>
    <row r="31">
      <c r="A31" s="8" t="inlineStr">
        <is>
          <t>01262884820248190001</t>
        </is>
      </c>
      <c r="B31" s="8" t="inlineStr">
        <is>
          <t>17 VARA DA FAZENDA</t>
        </is>
      </c>
      <c r="C31" s="8" t="inlineStr">
        <is>
          <t>JANETE RODRIGUES COSME REIS</t>
        </is>
      </c>
      <c r="D31" s="9" t="n">
        <v>52052192700</v>
      </c>
      <c r="E31" s="8" t="inlineStr">
        <is>
          <t>2800106772762</t>
        </is>
      </c>
      <c r="F31" s="27" t="n">
        <v>3329.75</v>
      </c>
      <c r="G31" s="27" t="n">
        <v>66.66</v>
      </c>
      <c r="H31" s="27" t="n">
        <v>208.32</v>
      </c>
      <c r="I31" s="27" t="n">
        <v>3604.73</v>
      </c>
      <c r="J31" s="28">
        <f>I31*0.3</f>
        <v/>
      </c>
    </row>
    <row r="32">
      <c r="A32" s="4" t="inlineStr">
        <is>
          <t>01262884820248190001</t>
        </is>
      </c>
      <c r="B32" s="4" t="inlineStr">
        <is>
          <t>17 VARA DA FAZENDA</t>
        </is>
      </c>
      <c r="C32" s="4" t="inlineStr">
        <is>
          <t>JANETE RODRIGUES COSME REIS</t>
        </is>
      </c>
      <c r="D32" s="5" t="n">
        <v>52052192700</v>
      </c>
      <c r="E32" s="4" t="inlineStr">
        <is>
          <t>2800106772762</t>
        </is>
      </c>
      <c r="F32" s="25" t="n">
        <v>151.42</v>
      </c>
      <c r="G32" s="25" t="n">
        <v>3.03</v>
      </c>
      <c r="H32" s="25" t="n">
        <v>9.470000000000001</v>
      </c>
      <c r="I32" s="25" t="n">
        <v>163.92</v>
      </c>
      <c r="J32" s="26">
        <f>I32*0.3</f>
        <v/>
      </c>
    </row>
    <row r="33">
      <c r="A33" s="8" t="inlineStr">
        <is>
          <t>01262884820248190001</t>
        </is>
      </c>
      <c r="B33" s="8" t="inlineStr">
        <is>
          <t>17 VARA DA FAZENDA</t>
        </is>
      </c>
      <c r="C33" s="8" t="inlineStr">
        <is>
          <t>JANETE RODRIGUES COSME REIS</t>
        </is>
      </c>
      <c r="D33" s="9" t="n">
        <v>52052192700</v>
      </c>
      <c r="E33" s="8" t="inlineStr">
        <is>
          <t>2800106772762</t>
        </is>
      </c>
      <c r="F33" s="27" t="n">
        <v>0.42</v>
      </c>
      <c r="G33" s="27" t="n">
        <v>0</v>
      </c>
      <c r="H33" s="27" t="n">
        <v>0</v>
      </c>
      <c r="I33" s="27" t="n">
        <v>0.42</v>
      </c>
      <c r="J33" s="28">
        <f>I33*0.3</f>
        <v/>
      </c>
    </row>
    <row r="34">
      <c r="A34" s="4" t="inlineStr">
        <is>
          <t>01135096120248190001</t>
        </is>
      </c>
      <c r="B34" s="4" t="inlineStr">
        <is>
          <t>17 VARA DA FAZENDA</t>
        </is>
      </c>
      <c r="C34" s="4" t="inlineStr">
        <is>
          <t>BORLA BIANCA FERDINANDA VINCEN</t>
        </is>
      </c>
      <c r="D34" s="5" t="n">
        <v>47913860863</v>
      </c>
      <c r="E34" s="4" t="inlineStr">
        <is>
          <t>2800109993584</t>
        </is>
      </c>
      <c r="F34" s="25" t="n">
        <v>1356.14</v>
      </c>
      <c r="G34" s="25" t="n">
        <v>26.95</v>
      </c>
      <c r="H34" s="25" t="n">
        <v>84.12</v>
      </c>
      <c r="I34" s="25" t="n">
        <v>1467.21</v>
      </c>
      <c r="J34" s="26">
        <f>I34*0.3</f>
        <v/>
      </c>
    </row>
    <row r="35">
      <c r="A35" s="31" t="inlineStr">
        <is>
          <t>Fonte: Banco do Brasil S.A., Agência 1567 P.Judic.Rio</t>
        </is>
      </c>
      <c r="B35" s="32" t="n"/>
      <c r="C35" s="16" t="inlineStr">
        <is>
          <t>TOTAIS</t>
        </is>
      </c>
      <c r="D35" s="16" t="n"/>
      <c r="E35" s="16" t="n"/>
      <c r="F35" s="33">
        <f>SUM(F6:F34)</f>
        <v/>
      </c>
      <c r="G35" s="33">
        <f>SUM(G6:G34)</f>
        <v/>
      </c>
      <c r="H35" s="33">
        <f>SUM(H6:H34)</f>
        <v/>
      </c>
      <c r="I35" s="33">
        <f>SUM(I6:I34)</f>
        <v/>
      </c>
      <c r="J35" s="33">
        <f>SUM(J6:J34)</f>
        <v/>
      </c>
    </row>
  </sheetData>
  <mergeCells count="5">
    <mergeCell ref="A1:C1"/>
    <mergeCell ref="A3:C3"/>
    <mergeCell ref="A4:C4"/>
    <mergeCell ref="A2:C2"/>
    <mergeCell ref="A35:B35"/>
  </mergeCells>
  <pageMargins left="0.7" right="0.7" top="0.75" bottom="0.75" header="0.3" footer="0.3"/>
  <pageSetup orientation="landscape" paperSize="9" scale="70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Matheus Abreu Ribeiro</dc:creator>
  <dcterms:created xmlns:dcterms="http://purl.org/dc/terms/" xmlns:xsi="http://www.w3.org/2001/XMLSchema-instance" xsi:type="dcterms:W3CDTF">2026-08-24T12:59:38Z</dcterms:created>
  <dcterms:modified xmlns:dcterms="http://purl.org/dc/terms/" xmlns:xsi="http://www.w3.org/2001/XMLSchema-instance" xsi:type="dcterms:W3CDTF">2026-08-25T15:03:31Z</dcterms:modified>
  <cp:lastModifiedBy>Matheus Abreu Ribeiro</cp:lastModifiedBy>
</cp:coreProperties>
</file>