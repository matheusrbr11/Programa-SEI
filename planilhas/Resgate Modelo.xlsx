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cifs-zone1\tesouro\Programas da SUPCONC\Programa SEI\planilhas\"/>
    </mc:Choice>
  </mc:AlternateContent>
  <xr:revisionPtr revIDLastSave="0" documentId="13_ncr:1_{7ABB2B00-471B-443E-A07C-8F49743A5E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GATES EM MODE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I35" i="1"/>
  <c r="H35" i="1"/>
  <c r="G35" i="1"/>
  <c r="F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</calcChain>
</file>

<file path=xl/sharedStrings.xml><?xml version="1.0" encoding="utf-8"?>
<sst xmlns="http://schemas.openxmlformats.org/spreadsheetml/2006/main" count="132" uniqueCount="41">
  <si>
    <t>Secretaria de Estado de Fazenda</t>
  </si>
  <si>
    <t>Subsecretaria do Tesouro</t>
  </si>
  <si>
    <t>Superintendência de Controles Financeiros - SUPCONFI</t>
  </si>
  <si>
    <t>Depósitos Judiciais - Resgates a favor do Governo - xx/xx/xxxx</t>
  </si>
  <si>
    <t>PROCESSO</t>
  </si>
  <si>
    <t>ORGÃO</t>
  </si>
  <si>
    <t>RECLAMADO</t>
  </si>
  <si>
    <t>CPF/CNPJ</t>
  </si>
  <si>
    <t>CONTA JUDICIAL</t>
  </si>
  <si>
    <t>SALDO CAPITAL</t>
  </si>
  <si>
    <t>CORREÇÃO</t>
  </si>
  <si>
    <t>JUROS</t>
  </si>
  <si>
    <t>SALDO CORRIGIDO</t>
  </si>
  <si>
    <t>LC 151 '30%'</t>
  </si>
  <si>
    <t>08241563720258190002</t>
  </si>
  <si>
    <t>5º JUIZ.ESP.FAZ.PÚBLIC</t>
  </si>
  <si>
    <t>ESTADO DO RIO DE JANEIRO</t>
  </si>
  <si>
    <t>0200127468247</t>
  </si>
  <si>
    <t>0002563-75.2022.8.19.0006</t>
  </si>
  <si>
    <t>CENTRAL DA DIVIDA ATIVA</t>
  </si>
  <si>
    <t>0300103576707</t>
  </si>
  <si>
    <t>01124330220248190001</t>
  </si>
  <si>
    <t>17 VARA DA FAZENDA</t>
  </si>
  <si>
    <t>0300113316110</t>
  </si>
  <si>
    <t>01040670820238190001</t>
  </si>
  <si>
    <t>8 NUCLEO 4.0 DIR FAZEN</t>
  </si>
  <si>
    <t>0700131748013</t>
  </si>
  <si>
    <t>01148688020238190001</t>
  </si>
  <si>
    <t>1000115485022</t>
  </si>
  <si>
    <t>0062702-45.2021.8.19.0000</t>
  </si>
  <si>
    <t>ORGAO ESPECIAL DO TJ</t>
  </si>
  <si>
    <t>1800107349994</t>
  </si>
  <si>
    <t>01063873120238190001</t>
  </si>
  <si>
    <t>2000131754244</t>
  </si>
  <si>
    <t>01262884820248190001</t>
  </si>
  <si>
    <t>2800106772762</t>
  </si>
  <si>
    <t>01135096120248190001</t>
  </si>
  <si>
    <t>2800109993584</t>
  </si>
  <si>
    <t>Fonte: Banco do Brasil S.A., Agência 1567 P.Judic.Rio</t>
  </si>
  <si>
    <t>TOTAIS</t>
  </si>
  <si>
    <t>NOME OU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</si>
</sst>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4">
    <xf numFmtId="0" fontId="0" fillId="0" borderId="0" xfId="0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0" fontId="0" fillId="3" borderId="1" xfId="0" applyFill="1" applyBorder="1"/>
    <xf numFmtId="1" fontId="0" fillId="3" borderId="1" xfId="0" applyNumberFormat="1" applyFill="1" applyBorder="1"/>
    <xf numFmtId="43" fontId="0" fillId="3" borderId="1" xfId="1" applyFont="1" applyFill="1" applyBorder="1"/>
    <xf numFmtId="164" fontId="0" fillId="3" borderId="1" xfId="0" applyNumberFormat="1" applyFill="1" applyBorder="1"/>
    <xf numFmtId="0" fontId="0" fillId="4" borderId="1" xfId="0" applyFill="1" applyBorder="1"/>
    <xf numFmtId="1" fontId="0" fillId="4" borderId="1" xfId="0" applyNumberFormat="1" applyFill="1" applyBorder="1"/>
    <xf numFmtId="43" fontId="0" fillId="4" borderId="1" xfId="1" applyFont="1" applyFill="1" applyBorder="1"/>
    <xf numFmtId="164" fontId="0" fillId="4" borderId="1" xfId="0" applyNumberFormat="1" applyFill="1" applyBorder="1"/>
    <xf numFmtId="0" fontId="0" fillId="5" borderId="1" xfId="0" applyFill="1" applyBorder="1"/>
    <xf numFmtId="43" fontId="0" fillId="5" borderId="1" xfId="1" applyFont="1" applyFill="1" applyBorder="1"/>
    <xf numFmtId="164" fontId="0" fillId="5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2" fillId="0" borderId="0" xfId="0" applyFont="1"/>
    <xf numFmtId="0" fontId="2" fillId="6" borderId="0" xfId="0" applyFont="1" applyFill="1" applyAlignment="1">
      <alignment horizontal="left" indent="10"/>
    </xf>
    <xf numFmtId="0" fontId="0" fillId="0" borderId="0" xfId="0"/>
    <xf numFmtId="0" fontId="2" fillId="6" borderId="2" xfId="0" applyFont="1" applyFill="1" applyBorder="1" applyAlignment="1">
      <alignment horizontal="left" indent="10"/>
    </xf>
    <xf numFmtId="0" fontId="0" fillId="0" borderId="2" xfId="0" applyBorder="1"/>
    <xf numFmtId="0" fontId="0" fillId="2" borderId="1" xfId="0" applyFill="1" applyBorder="1" applyAlignment="1">
      <alignment horizontal="center" shrinkToFit="1"/>
    </xf>
    <xf numFmtId="0" fontId="0" fillId="0" borderId="3" xfId="0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29718</xdr:rowOff>
    </xdr:from>
    <xdr:to>
      <xdr:col>0</xdr:col>
      <xdr:colOff>704850</xdr:colOff>
      <xdr:row>3</xdr:row>
      <xdr:rowOff>130302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9718"/>
          <a:ext cx="533400" cy="67208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tabSelected="1" workbookViewId="0">
      <selection activeCell="L13" sqref="L13"/>
    </sheetView>
  </sheetViews>
  <sheetFormatPr defaultColWidth="24.5703125" defaultRowHeight="15" x14ac:dyDescent="0.25"/>
  <cols>
    <col min="1" max="1" width="24.42578125" bestFit="1" customWidth="1"/>
    <col min="2" max="2" width="25.5703125" bestFit="1" customWidth="1"/>
    <col min="3" max="3" width="35.28515625" bestFit="1" customWidth="1"/>
    <col min="4" max="4" width="15.140625" bestFit="1" customWidth="1"/>
    <col min="5" max="5" width="15.7109375" bestFit="1" customWidth="1"/>
    <col min="6" max="6" width="14.7109375" bestFit="1" customWidth="1"/>
    <col min="7" max="7" width="11.7109375" bestFit="1" customWidth="1"/>
    <col min="8" max="8" width="12.7109375" bestFit="1" customWidth="1"/>
    <col min="9" max="9" width="17.7109375" bestFit="1" customWidth="1"/>
    <col min="10" max="10" width="12.7109375" bestFit="1" customWidth="1"/>
  </cols>
  <sheetData>
    <row r="1" spans="1:10" x14ac:dyDescent="0.25">
      <c r="A1" s="18" t="s">
        <v>0</v>
      </c>
      <c r="B1" s="19"/>
      <c r="C1" s="19"/>
      <c r="D1" s="17"/>
    </row>
    <row r="2" spans="1:10" x14ac:dyDescent="0.25">
      <c r="A2" s="18" t="s">
        <v>1</v>
      </c>
      <c r="B2" s="19"/>
      <c r="C2" s="19"/>
      <c r="D2" s="1"/>
    </row>
    <row r="3" spans="1:10" x14ac:dyDescent="0.25">
      <c r="A3" s="18" t="s">
        <v>2</v>
      </c>
      <c r="B3" s="19"/>
      <c r="C3" s="19"/>
      <c r="D3" s="1"/>
    </row>
    <row r="4" spans="1:10" x14ac:dyDescent="0.25">
      <c r="A4" s="20" t="s">
        <v>3</v>
      </c>
      <c r="B4" s="21"/>
      <c r="C4" s="21"/>
      <c r="D4" s="1"/>
    </row>
    <row r="5" spans="1:10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3" t="s">
        <v>13</v>
      </c>
    </row>
    <row r="6" spans="1:10" x14ac:dyDescent="0.25">
      <c r="A6" s="4" t="s">
        <v>14</v>
      </c>
      <c r="B6" s="4" t="s">
        <v>15</v>
      </c>
      <c r="C6" s="4" t="s">
        <v>40</v>
      </c>
      <c r="D6" s="9">
        <v>1234567890001</v>
      </c>
      <c r="E6" s="4" t="s">
        <v>17</v>
      </c>
      <c r="F6" s="6">
        <v>18</v>
      </c>
      <c r="G6" s="6">
        <v>0.12</v>
      </c>
      <c r="H6" s="6">
        <v>0.41</v>
      </c>
      <c r="I6" s="6">
        <v>18.53</v>
      </c>
      <c r="J6" s="7">
        <f t="shared" ref="J6:J34" si="0">I6*0.3</f>
        <v>5.5590000000000002</v>
      </c>
    </row>
    <row r="7" spans="1:10" x14ac:dyDescent="0.25">
      <c r="A7" s="8" t="s">
        <v>18</v>
      </c>
      <c r="B7" s="8" t="s">
        <v>19</v>
      </c>
      <c r="C7" s="4" t="s">
        <v>40</v>
      </c>
      <c r="D7" s="9">
        <v>1234567891</v>
      </c>
      <c r="E7" s="8" t="s">
        <v>20</v>
      </c>
      <c r="F7" s="10">
        <v>18022.97</v>
      </c>
      <c r="G7" s="10">
        <v>529.92999999999995</v>
      </c>
      <c r="H7" s="10">
        <v>1949.19</v>
      </c>
      <c r="I7" s="10">
        <v>20502.09</v>
      </c>
      <c r="J7" s="11">
        <f t="shared" si="0"/>
        <v>6150.6269999999995</v>
      </c>
    </row>
    <row r="8" spans="1:10" x14ac:dyDescent="0.25">
      <c r="A8" s="12" t="s">
        <v>21</v>
      </c>
      <c r="B8" s="12" t="s">
        <v>22</v>
      </c>
      <c r="C8" s="12" t="s">
        <v>40</v>
      </c>
      <c r="D8" s="9">
        <v>1234567892</v>
      </c>
      <c r="E8" s="12" t="s">
        <v>23</v>
      </c>
      <c r="F8" s="13">
        <v>29291.77</v>
      </c>
      <c r="G8" s="13">
        <v>577.42999999999995</v>
      </c>
      <c r="H8" s="13">
        <v>1801.47</v>
      </c>
      <c r="I8" s="13">
        <v>31670.67</v>
      </c>
      <c r="J8" s="14">
        <f t="shared" si="0"/>
        <v>9501.2009999999991</v>
      </c>
    </row>
    <row r="9" spans="1:10" x14ac:dyDescent="0.25">
      <c r="A9" s="8" t="s">
        <v>24</v>
      </c>
      <c r="B9" s="8" t="s">
        <v>25</v>
      </c>
      <c r="C9" s="4" t="s">
        <v>40</v>
      </c>
      <c r="D9" s="9">
        <v>1234567890001</v>
      </c>
      <c r="E9" s="8" t="s">
        <v>26</v>
      </c>
      <c r="F9" s="10">
        <v>66115.5</v>
      </c>
      <c r="G9" s="10">
        <v>2222.61</v>
      </c>
      <c r="H9" s="10">
        <v>9513.01</v>
      </c>
      <c r="I9" s="10">
        <v>77851.12</v>
      </c>
      <c r="J9" s="11">
        <f t="shared" si="0"/>
        <v>23355.335999999999</v>
      </c>
    </row>
    <row r="10" spans="1:10" x14ac:dyDescent="0.25">
      <c r="A10" s="4" t="s">
        <v>24</v>
      </c>
      <c r="B10" s="4" t="s">
        <v>25</v>
      </c>
      <c r="C10" s="4" t="s">
        <v>40</v>
      </c>
      <c r="D10" s="9">
        <v>1234567890001</v>
      </c>
      <c r="E10" s="4" t="s">
        <v>26</v>
      </c>
      <c r="F10" s="6">
        <v>1455.02</v>
      </c>
      <c r="G10" s="6">
        <v>48.91</v>
      </c>
      <c r="H10" s="6">
        <v>209.35</v>
      </c>
      <c r="I10" s="6">
        <v>1713.28</v>
      </c>
      <c r="J10" s="7">
        <f t="shared" si="0"/>
        <v>513.98399999999992</v>
      </c>
    </row>
    <row r="11" spans="1:10" x14ac:dyDescent="0.25">
      <c r="A11" s="8" t="s">
        <v>24</v>
      </c>
      <c r="B11" s="8" t="s">
        <v>25</v>
      </c>
      <c r="C11" s="4" t="s">
        <v>40</v>
      </c>
      <c r="D11" s="9">
        <v>1234567890001</v>
      </c>
      <c r="E11" s="8" t="s">
        <v>26</v>
      </c>
      <c r="F11" s="10">
        <v>118.98</v>
      </c>
      <c r="G11" s="10">
        <v>3.99</v>
      </c>
      <c r="H11" s="10">
        <v>17.11</v>
      </c>
      <c r="I11" s="10">
        <v>140.08000000000001</v>
      </c>
      <c r="J11" s="11">
        <f t="shared" si="0"/>
        <v>42.024000000000001</v>
      </c>
    </row>
    <row r="12" spans="1:10" x14ac:dyDescent="0.25">
      <c r="A12" s="4" t="s">
        <v>24</v>
      </c>
      <c r="B12" s="4" t="s">
        <v>25</v>
      </c>
      <c r="C12" s="4" t="s">
        <v>40</v>
      </c>
      <c r="D12" s="9">
        <v>1234567890001</v>
      </c>
      <c r="E12" s="4" t="s">
        <v>26</v>
      </c>
      <c r="F12" s="6">
        <v>49137.8</v>
      </c>
      <c r="G12" s="6">
        <v>1651.87</v>
      </c>
      <c r="H12" s="6">
        <v>7070.18</v>
      </c>
      <c r="I12" s="6">
        <v>57859.85</v>
      </c>
      <c r="J12" s="7">
        <f t="shared" si="0"/>
        <v>17357.954999999998</v>
      </c>
    </row>
    <row r="13" spans="1:10" x14ac:dyDescent="0.25">
      <c r="A13" s="8" t="s">
        <v>24</v>
      </c>
      <c r="B13" s="8" t="s">
        <v>25</v>
      </c>
      <c r="C13" s="4" t="s">
        <v>40</v>
      </c>
      <c r="D13" s="9">
        <v>1234567890001</v>
      </c>
      <c r="E13" s="8" t="s">
        <v>26</v>
      </c>
      <c r="F13" s="10">
        <v>36253.339999999997</v>
      </c>
      <c r="G13" s="10">
        <v>1184.56</v>
      </c>
      <c r="H13" s="10">
        <v>4893.42</v>
      </c>
      <c r="I13" s="10">
        <v>42331.32</v>
      </c>
      <c r="J13" s="11">
        <f t="shared" si="0"/>
        <v>12699.395999999999</v>
      </c>
    </row>
    <row r="14" spans="1:10" x14ac:dyDescent="0.25">
      <c r="A14" s="4" t="s">
        <v>27</v>
      </c>
      <c r="B14" s="4" t="s">
        <v>22</v>
      </c>
      <c r="C14" s="4" t="s">
        <v>40</v>
      </c>
      <c r="D14" s="9">
        <v>1234567890002</v>
      </c>
      <c r="E14" s="4" t="s">
        <v>28</v>
      </c>
      <c r="F14" s="6">
        <v>42.07</v>
      </c>
      <c r="G14" s="6">
        <v>0.67</v>
      </c>
      <c r="H14" s="6">
        <v>2.11</v>
      </c>
      <c r="I14" s="6">
        <v>44.85</v>
      </c>
      <c r="J14" s="7">
        <f t="shared" si="0"/>
        <v>13.455</v>
      </c>
    </row>
    <row r="15" spans="1:10" x14ac:dyDescent="0.25">
      <c r="A15" s="8" t="s">
        <v>27</v>
      </c>
      <c r="B15" s="8" t="s">
        <v>22</v>
      </c>
      <c r="C15" s="4" t="s">
        <v>40</v>
      </c>
      <c r="D15" s="9">
        <v>1234567890002</v>
      </c>
      <c r="E15" s="8" t="s">
        <v>28</v>
      </c>
      <c r="F15" s="10">
        <v>134.69</v>
      </c>
      <c r="G15" s="10">
        <v>2.17</v>
      </c>
      <c r="H15" s="10">
        <v>6.76</v>
      </c>
      <c r="I15" s="10">
        <v>143.62</v>
      </c>
      <c r="J15" s="11">
        <f t="shared" si="0"/>
        <v>43.085999999999999</v>
      </c>
    </row>
    <row r="16" spans="1:10" x14ac:dyDescent="0.25">
      <c r="A16" s="4" t="s">
        <v>27</v>
      </c>
      <c r="B16" s="4" t="s">
        <v>22</v>
      </c>
      <c r="C16" s="4" t="s">
        <v>40</v>
      </c>
      <c r="D16" s="9">
        <v>1234567890002</v>
      </c>
      <c r="E16" s="4" t="s">
        <v>28</v>
      </c>
      <c r="F16" s="6">
        <v>9.9600000000000009</v>
      </c>
      <c r="G16" s="6">
        <v>0.16</v>
      </c>
      <c r="H16" s="6">
        <v>0.5</v>
      </c>
      <c r="I16" s="6">
        <v>10.62</v>
      </c>
      <c r="J16" s="7">
        <f t="shared" si="0"/>
        <v>3.1859999999999995</v>
      </c>
    </row>
    <row r="17" spans="1:10" x14ac:dyDescent="0.25">
      <c r="A17" s="8" t="s">
        <v>27</v>
      </c>
      <c r="B17" s="8" t="s">
        <v>22</v>
      </c>
      <c r="C17" s="4" t="s">
        <v>40</v>
      </c>
      <c r="D17" s="9">
        <v>1234567890002</v>
      </c>
      <c r="E17" s="8" t="s">
        <v>28</v>
      </c>
      <c r="F17" s="10">
        <v>36.06</v>
      </c>
      <c r="G17" s="10">
        <v>0.57999999999999996</v>
      </c>
      <c r="H17" s="10">
        <v>1.81</v>
      </c>
      <c r="I17" s="10">
        <v>38.450000000000003</v>
      </c>
      <c r="J17" s="11">
        <f t="shared" si="0"/>
        <v>11.535</v>
      </c>
    </row>
    <row r="18" spans="1:10" x14ac:dyDescent="0.25">
      <c r="A18" s="4" t="s">
        <v>27</v>
      </c>
      <c r="B18" s="4" t="s">
        <v>22</v>
      </c>
      <c r="C18" s="4" t="s">
        <v>40</v>
      </c>
      <c r="D18" s="9">
        <v>1234567890002</v>
      </c>
      <c r="E18" s="4" t="s">
        <v>28</v>
      </c>
      <c r="F18" s="6">
        <v>5.37</v>
      </c>
      <c r="G18" s="6">
        <v>0.08</v>
      </c>
      <c r="H18" s="6">
        <v>0.26</v>
      </c>
      <c r="I18" s="6">
        <v>5.71</v>
      </c>
      <c r="J18" s="7">
        <f t="shared" si="0"/>
        <v>1.7129999999999999</v>
      </c>
    </row>
    <row r="19" spans="1:10" x14ac:dyDescent="0.25">
      <c r="A19" s="8" t="s">
        <v>27</v>
      </c>
      <c r="B19" s="8" t="s">
        <v>22</v>
      </c>
      <c r="C19" s="4" t="s">
        <v>40</v>
      </c>
      <c r="D19" s="9">
        <v>1234567890002</v>
      </c>
      <c r="E19" s="8" t="s">
        <v>28</v>
      </c>
      <c r="F19" s="10">
        <v>63.66</v>
      </c>
      <c r="G19" s="10">
        <v>1.02</v>
      </c>
      <c r="H19" s="10">
        <v>3.19</v>
      </c>
      <c r="I19" s="10">
        <v>67.87</v>
      </c>
      <c r="J19" s="11">
        <f t="shared" si="0"/>
        <v>20.361000000000001</v>
      </c>
    </row>
    <row r="20" spans="1:10" x14ac:dyDescent="0.25">
      <c r="A20" s="4" t="s">
        <v>27</v>
      </c>
      <c r="B20" s="4" t="s">
        <v>22</v>
      </c>
      <c r="C20" s="4" t="s">
        <v>40</v>
      </c>
      <c r="D20" s="9">
        <v>1234567890002</v>
      </c>
      <c r="E20" s="4" t="s">
        <v>28</v>
      </c>
      <c r="F20" s="6">
        <v>15.55</v>
      </c>
      <c r="G20" s="6">
        <v>0.25</v>
      </c>
      <c r="H20" s="6">
        <v>0.78</v>
      </c>
      <c r="I20" s="6">
        <v>16.579999999999998</v>
      </c>
      <c r="J20" s="7">
        <f t="shared" si="0"/>
        <v>4.9739999999999993</v>
      </c>
    </row>
    <row r="21" spans="1:10" x14ac:dyDescent="0.25">
      <c r="A21" s="8" t="s">
        <v>27</v>
      </c>
      <c r="B21" s="8" t="s">
        <v>22</v>
      </c>
      <c r="C21" s="4" t="s">
        <v>40</v>
      </c>
      <c r="D21" s="9">
        <v>1234567890002</v>
      </c>
      <c r="E21" s="8" t="s">
        <v>28</v>
      </c>
      <c r="F21" s="10">
        <v>89.91</v>
      </c>
      <c r="G21" s="10">
        <v>1.44</v>
      </c>
      <c r="H21" s="10">
        <v>4.51</v>
      </c>
      <c r="I21" s="10">
        <v>95.86</v>
      </c>
      <c r="J21" s="11">
        <f t="shared" si="0"/>
        <v>28.757999999999999</v>
      </c>
    </row>
    <row r="22" spans="1:10" x14ac:dyDescent="0.25">
      <c r="A22" s="4" t="s">
        <v>27</v>
      </c>
      <c r="B22" s="4" t="s">
        <v>22</v>
      </c>
      <c r="C22" s="4" t="s">
        <v>40</v>
      </c>
      <c r="D22" s="9">
        <v>1234567890002</v>
      </c>
      <c r="E22" s="4" t="s">
        <v>28</v>
      </c>
      <c r="F22" s="6">
        <v>72.2</v>
      </c>
      <c r="G22" s="6">
        <v>1.1599999999999999</v>
      </c>
      <c r="H22" s="6">
        <v>3.62</v>
      </c>
      <c r="I22" s="6">
        <v>76.98</v>
      </c>
      <c r="J22" s="7">
        <f t="shared" si="0"/>
        <v>23.094000000000001</v>
      </c>
    </row>
    <row r="23" spans="1:10" x14ac:dyDescent="0.25">
      <c r="A23" s="8" t="s">
        <v>27</v>
      </c>
      <c r="B23" s="8" t="s">
        <v>22</v>
      </c>
      <c r="C23" s="4" t="s">
        <v>40</v>
      </c>
      <c r="D23" s="9">
        <v>1234567890002</v>
      </c>
      <c r="E23" s="8" t="s">
        <v>28</v>
      </c>
      <c r="F23" s="10">
        <v>37.869999999999997</v>
      </c>
      <c r="G23" s="10">
        <v>0.61</v>
      </c>
      <c r="H23" s="10">
        <v>1.9</v>
      </c>
      <c r="I23" s="10">
        <v>40.380000000000003</v>
      </c>
      <c r="J23" s="11">
        <f t="shared" si="0"/>
        <v>12.114000000000001</v>
      </c>
    </row>
    <row r="24" spans="1:10" x14ac:dyDescent="0.25">
      <c r="A24" s="4" t="s">
        <v>27</v>
      </c>
      <c r="B24" s="4" t="s">
        <v>22</v>
      </c>
      <c r="C24" s="4" t="s">
        <v>40</v>
      </c>
      <c r="D24" s="9">
        <v>1234567890002</v>
      </c>
      <c r="E24" s="4" t="s">
        <v>28</v>
      </c>
      <c r="F24" s="6">
        <v>38.76</v>
      </c>
      <c r="G24" s="6">
        <v>0.62</v>
      </c>
      <c r="H24" s="6">
        <v>1.94</v>
      </c>
      <c r="I24" s="6">
        <v>41.32</v>
      </c>
      <c r="J24" s="7">
        <f t="shared" si="0"/>
        <v>12.395999999999999</v>
      </c>
    </row>
    <row r="25" spans="1:10" x14ac:dyDescent="0.25">
      <c r="A25" s="8" t="s">
        <v>27</v>
      </c>
      <c r="B25" s="8" t="s">
        <v>22</v>
      </c>
      <c r="C25" s="4" t="s">
        <v>40</v>
      </c>
      <c r="D25" s="9">
        <v>1234567890002</v>
      </c>
      <c r="E25" s="8" t="s">
        <v>28</v>
      </c>
      <c r="F25" s="10">
        <v>182.84</v>
      </c>
      <c r="G25" s="10">
        <v>2.94</v>
      </c>
      <c r="H25" s="10">
        <v>9.18</v>
      </c>
      <c r="I25" s="10">
        <v>194.96</v>
      </c>
      <c r="J25" s="11">
        <f t="shared" si="0"/>
        <v>58.488</v>
      </c>
    </row>
    <row r="26" spans="1:10" x14ac:dyDescent="0.25">
      <c r="A26" s="4" t="s">
        <v>27</v>
      </c>
      <c r="B26" s="4" t="s">
        <v>22</v>
      </c>
      <c r="C26" s="4" t="s">
        <v>40</v>
      </c>
      <c r="D26" s="9">
        <v>1234567890002</v>
      </c>
      <c r="E26" s="4" t="s">
        <v>28</v>
      </c>
      <c r="F26" s="6">
        <v>784.9</v>
      </c>
      <c r="G26" s="6">
        <v>12.65</v>
      </c>
      <c r="H26" s="6">
        <v>39.43</v>
      </c>
      <c r="I26" s="6">
        <v>836.98</v>
      </c>
      <c r="J26" s="7">
        <f t="shared" si="0"/>
        <v>251.09399999999999</v>
      </c>
    </row>
    <row r="27" spans="1:10" x14ac:dyDescent="0.25">
      <c r="A27" s="8" t="s">
        <v>27</v>
      </c>
      <c r="B27" s="8" t="s">
        <v>22</v>
      </c>
      <c r="C27" s="4" t="s">
        <v>40</v>
      </c>
      <c r="D27" s="9">
        <v>1234567890002</v>
      </c>
      <c r="E27" s="8" t="s">
        <v>28</v>
      </c>
      <c r="F27" s="10">
        <v>325.05</v>
      </c>
      <c r="G27" s="10">
        <v>5.24</v>
      </c>
      <c r="H27" s="10">
        <v>16.329999999999998</v>
      </c>
      <c r="I27" s="10">
        <v>346.62</v>
      </c>
      <c r="J27" s="11">
        <f t="shared" si="0"/>
        <v>103.986</v>
      </c>
    </row>
    <row r="28" spans="1:10" x14ac:dyDescent="0.25">
      <c r="A28" s="4" t="s">
        <v>29</v>
      </c>
      <c r="B28" s="4" t="s">
        <v>30</v>
      </c>
      <c r="C28" s="4" t="s">
        <v>16</v>
      </c>
      <c r="D28" s="5">
        <v>42498600000171</v>
      </c>
      <c r="E28" s="4" t="s">
        <v>31</v>
      </c>
      <c r="F28" s="6">
        <v>2102.1799999999998</v>
      </c>
      <c r="G28" s="6">
        <v>75.72</v>
      </c>
      <c r="H28" s="6">
        <v>351.89</v>
      </c>
      <c r="I28" s="6">
        <v>2529.79</v>
      </c>
      <c r="J28" s="7">
        <f t="shared" si="0"/>
        <v>758.93700000000001</v>
      </c>
    </row>
    <row r="29" spans="1:10" x14ac:dyDescent="0.25">
      <c r="A29" s="8" t="s">
        <v>32</v>
      </c>
      <c r="B29" s="8" t="s">
        <v>25</v>
      </c>
      <c r="C29" s="4" t="s">
        <v>40</v>
      </c>
      <c r="D29" s="9">
        <v>1234567890003</v>
      </c>
      <c r="E29" s="8" t="s">
        <v>33</v>
      </c>
      <c r="F29" s="10">
        <v>156.84</v>
      </c>
      <c r="G29" s="10">
        <v>5.27</v>
      </c>
      <c r="H29" s="10">
        <v>22.56</v>
      </c>
      <c r="I29" s="10">
        <v>184.67</v>
      </c>
      <c r="J29" s="11">
        <f t="shared" si="0"/>
        <v>55.400999999999996</v>
      </c>
    </row>
    <row r="30" spans="1:10" x14ac:dyDescent="0.25">
      <c r="A30" s="4" t="s">
        <v>34</v>
      </c>
      <c r="B30" s="4" t="s">
        <v>22</v>
      </c>
      <c r="C30" s="4" t="s">
        <v>40</v>
      </c>
      <c r="D30" s="9">
        <v>1234567893</v>
      </c>
      <c r="E30" s="4" t="s">
        <v>35</v>
      </c>
      <c r="F30" s="6">
        <v>87.08</v>
      </c>
      <c r="G30" s="6">
        <v>1.74</v>
      </c>
      <c r="H30" s="6">
        <v>5.44</v>
      </c>
      <c r="I30" s="6">
        <v>94.26</v>
      </c>
      <c r="J30" s="7">
        <f t="shared" si="0"/>
        <v>28.278000000000002</v>
      </c>
    </row>
    <row r="31" spans="1:10" x14ac:dyDescent="0.25">
      <c r="A31" s="8" t="s">
        <v>34</v>
      </c>
      <c r="B31" s="8" t="s">
        <v>22</v>
      </c>
      <c r="C31" s="4" t="s">
        <v>40</v>
      </c>
      <c r="D31" s="9">
        <v>1234567893</v>
      </c>
      <c r="E31" s="8" t="s">
        <v>35</v>
      </c>
      <c r="F31" s="10">
        <v>3329.75</v>
      </c>
      <c r="G31" s="10">
        <v>66.66</v>
      </c>
      <c r="H31" s="10">
        <v>208.32</v>
      </c>
      <c r="I31" s="10">
        <v>3604.73</v>
      </c>
      <c r="J31" s="11">
        <f t="shared" si="0"/>
        <v>1081.4189999999999</v>
      </c>
    </row>
    <row r="32" spans="1:10" x14ac:dyDescent="0.25">
      <c r="A32" s="4" t="s">
        <v>34</v>
      </c>
      <c r="B32" s="4" t="s">
        <v>22</v>
      </c>
      <c r="C32" s="4" t="s">
        <v>40</v>
      </c>
      <c r="D32" s="9">
        <v>1234567893</v>
      </c>
      <c r="E32" s="4" t="s">
        <v>35</v>
      </c>
      <c r="F32" s="6">
        <v>151.41999999999999</v>
      </c>
      <c r="G32" s="6">
        <v>3.03</v>
      </c>
      <c r="H32" s="6">
        <v>9.4700000000000006</v>
      </c>
      <c r="I32" s="6">
        <v>163.92</v>
      </c>
      <c r="J32" s="7">
        <f t="shared" si="0"/>
        <v>49.175999999999995</v>
      </c>
    </row>
    <row r="33" spans="1:10" x14ac:dyDescent="0.25">
      <c r="A33" s="8" t="s">
        <v>34</v>
      </c>
      <c r="B33" s="8" t="s">
        <v>22</v>
      </c>
      <c r="C33" s="4" t="s">
        <v>40</v>
      </c>
      <c r="D33" s="9">
        <v>1234567893</v>
      </c>
      <c r="E33" s="8" t="s">
        <v>35</v>
      </c>
      <c r="F33" s="10">
        <v>0.42</v>
      </c>
      <c r="G33" s="10">
        <v>0</v>
      </c>
      <c r="H33" s="10">
        <v>0</v>
      </c>
      <c r="I33" s="10">
        <v>0.42</v>
      </c>
      <c r="J33" s="11">
        <f t="shared" si="0"/>
        <v>0.126</v>
      </c>
    </row>
    <row r="34" spans="1:10" x14ac:dyDescent="0.25">
      <c r="A34" s="4" t="s">
        <v>36</v>
      </c>
      <c r="B34" s="4" t="s">
        <v>22</v>
      </c>
      <c r="C34" s="4" t="s">
        <v>40</v>
      </c>
      <c r="D34" s="9">
        <v>1234567890003</v>
      </c>
      <c r="E34" s="4" t="s">
        <v>37</v>
      </c>
      <c r="F34" s="6">
        <v>1356.14</v>
      </c>
      <c r="G34" s="6">
        <v>26.95</v>
      </c>
      <c r="H34" s="6">
        <v>84.12</v>
      </c>
      <c r="I34" s="6">
        <v>1467.21</v>
      </c>
      <c r="J34" s="7">
        <f t="shared" si="0"/>
        <v>440.16300000000001</v>
      </c>
    </row>
    <row r="35" spans="1:10" x14ac:dyDescent="0.25">
      <c r="A35" s="22" t="s">
        <v>38</v>
      </c>
      <c r="B35" s="23"/>
      <c r="C35" s="15" t="s">
        <v>39</v>
      </c>
      <c r="D35" s="15"/>
      <c r="E35" s="15"/>
      <c r="F35" s="16">
        <f>SUM(F6:F34)</f>
        <v>209436.1</v>
      </c>
      <c r="G35" s="16">
        <f>SUM(G6:G34)</f>
        <v>6428.3799999999983</v>
      </c>
      <c r="H35" s="16">
        <f>SUM(H6:H34)</f>
        <v>26228.259999999995</v>
      </c>
      <c r="I35" s="16">
        <f>SUM(I6:I34)</f>
        <v>242092.74000000005</v>
      </c>
      <c r="J35" s="16">
        <f>SUM(J6:J34)</f>
        <v>72627.822</v>
      </c>
    </row>
  </sheetData>
  <mergeCells count="5">
    <mergeCell ref="A1:C1"/>
    <mergeCell ref="A3:C3"/>
    <mergeCell ref="A4:C4"/>
    <mergeCell ref="A2:C2"/>
    <mergeCell ref="A35:B35"/>
  </mergeCells>
  <pageMargins left="0.7" right="0.7" top="0.75" bottom="0.75" header="0.3" footer="0.3"/>
  <pageSetup paperSize="9" scale="70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RESGATES EM 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Abreu Ribeiro</dc:creator>
  <cp:lastModifiedBy>Matheus Abreu Ribeiro</cp:lastModifiedBy>
  <dcterms:created xsi:type="dcterms:W3CDTF">2026-08-24T12:59:38Z</dcterms:created>
  <dcterms:modified xsi:type="dcterms:W3CDTF">2026-10-07T16:26:22Z</dcterms:modified>
</cp:coreProperties>
</file>